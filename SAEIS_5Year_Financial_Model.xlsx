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AEIS\"/>
    </mc:Choice>
  </mc:AlternateContent>
  <xr:revisionPtr revIDLastSave="0" documentId="13_ncr:1_{39BD466E-E700-435E-8FE5-2F99F0B101F8}" xr6:coauthVersionLast="45" xr6:coauthVersionMax="45" xr10:uidLastSave="{00000000-0000-0000-0000-000000000000}"/>
  <bookViews>
    <workbookView xWindow="1455" yWindow="-120" windowWidth="17865" windowHeight="15600" activeTab="3" xr2:uid="{00000000-000D-0000-FFFF-FFFF00000000}"/>
  </bookViews>
  <sheets>
    <sheet name="Executive Summary" sheetId="1" r:id="rId1"/>
    <sheet name="Assumptions" sheetId="2" r:id="rId2"/>
    <sheet name="Projections" sheetId="3" r:id="rId3"/>
    <sheet name="Use of Funds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4" l="1"/>
  <c r="B9" i="4"/>
  <c r="B23" i="3"/>
  <c r="C23" i="3" s="1"/>
  <c r="D9" i="3"/>
  <c r="D9" i="1" s="1"/>
  <c r="F8" i="3"/>
  <c r="E8" i="3"/>
  <c r="D8" i="3"/>
  <c r="C8" i="3"/>
  <c r="B8" i="3"/>
  <c r="F7" i="3"/>
  <c r="F13" i="3" s="1"/>
  <c r="E7" i="3"/>
  <c r="D7" i="3"/>
  <c r="D13" i="3" s="1"/>
  <c r="C7" i="3"/>
  <c r="B7" i="3"/>
  <c r="B13" i="3" s="1"/>
  <c r="F6" i="3"/>
  <c r="F12" i="3" s="1"/>
  <c r="F14" i="3" s="1"/>
  <c r="E6" i="3"/>
  <c r="E9" i="3" s="1"/>
  <c r="E9" i="1" s="1"/>
  <c r="D6" i="3"/>
  <c r="D12" i="3" s="1"/>
  <c r="C6" i="3"/>
  <c r="C13" i="3" s="1"/>
  <c r="B6" i="3"/>
  <c r="B12" i="3" s="1"/>
  <c r="B14" i="3" s="1"/>
  <c r="B10" i="1" l="1"/>
  <c r="B17" i="3"/>
  <c r="B18" i="3" s="1"/>
  <c r="B11" i="1" s="1"/>
  <c r="F17" i="3"/>
  <c r="F18" i="3" s="1"/>
  <c r="F11" i="1" s="1"/>
  <c r="F10" i="1"/>
  <c r="D23" i="3"/>
  <c r="C13" i="1"/>
  <c r="D14" i="3"/>
  <c r="B9" i="3"/>
  <c r="B9" i="1" s="1"/>
  <c r="F9" i="3"/>
  <c r="F9" i="1" s="1"/>
  <c r="E12" i="3"/>
  <c r="B13" i="1"/>
  <c r="C9" i="3"/>
  <c r="C9" i="1" s="1"/>
  <c r="E13" i="3"/>
  <c r="C12" i="3"/>
  <c r="C14" i="3" s="1"/>
  <c r="D5" i="1" s="1"/>
  <c r="E23" i="3" l="1"/>
  <c r="D13" i="1"/>
  <c r="D17" i="3"/>
  <c r="D18" i="3" s="1"/>
  <c r="D11" i="1" s="1"/>
  <c r="D19" i="3"/>
  <c r="D10" i="1"/>
  <c r="C10" i="1"/>
  <c r="C17" i="3"/>
  <c r="C18" i="3" s="1"/>
  <c r="C11" i="1" s="1"/>
  <c r="E14" i="3"/>
  <c r="F19" i="3"/>
  <c r="B19" i="3"/>
  <c r="D24" i="3" l="1"/>
  <c r="D20" i="3"/>
  <c r="D12" i="1"/>
  <c r="B20" i="3"/>
  <c r="B24" i="3"/>
  <c r="B12" i="1"/>
  <c r="F20" i="3"/>
  <c r="F24" i="3"/>
  <c r="F12" i="1"/>
  <c r="C19" i="3"/>
  <c r="E17" i="3"/>
  <c r="E18" i="3" s="1"/>
  <c r="E11" i="1" s="1"/>
  <c r="E19" i="3"/>
  <c r="E10" i="1"/>
  <c r="F23" i="3"/>
  <c r="F13" i="1" s="1"/>
  <c r="E13" i="1"/>
  <c r="B26" i="3" l="1"/>
  <c r="B25" i="3"/>
  <c r="B27" i="3"/>
  <c r="B14" i="1"/>
  <c r="E12" i="1"/>
  <c r="E20" i="3"/>
  <c r="E24" i="3"/>
  <c r="F26" i="3"/>
  <c r="F25" i="3"/>
  <c r="H5" i="1" s="1"/>
  <c r="F14" i="1"/>
  <c r="F27" i="3"/>
  <c r="C24" i="3"/>
  <c r="C12" i="1"/>
  <c r="C20" i="3"/>
  <c r="D27" i="3"/>
  <c r="D26" i="3"/>
  <c r="D25" i="3"/>
  <c r="D14" i="1"/>
  <c r="D28" i="3" l="1"/>
  <c r="D16" i="1" s="1"/>
  <c r="D15" i="1"/>
  <c r="E26" i="3"/>
  <c r="E27" i="3" s="1"/>
  <c r="E25" i="3"/>
  <c r="E14" i="1"/>
  <c r="C25" i="3"/>
  <c r="C14" i="1"/>
  <c r="C27" i="3"/>
  <c r="C26" i="3"/>
  <c r="F15" i="1"/>
  <c r="F5" i="1"/>
  <c r="F28" i="3"/>
  <c r="F16" i="1" s="1"/>
  <c r="B15" i="1"/>
  <c r="B28" i="3"/>
  <c r="B16" i="1" s="1"/>
  <c r="E28" i="3" l="1"/>
  <c r="E16" i="1" s="1"/>
  <c r="E15" i="1"/>
  <c r="C28" i="3"/>
  <c r="C16" i="1" s="1"/>
  <c r="C15" i="1"/>
</calcChain>
</file>

<file path=xl/sharedStrings.xml><?xml version="1.0" encoding="utf-8"?>
<sst xmlns="http://schemas.openxmlformats.org/spreadsheetml/2006/main" count="89" uniqueCount="80">
  <si>
    <t>SAEIS — Smart Audit &amp; ERP Integration System</t>
  </si>
  <si>
    <t>5-Year Financial Model &amp; Key Performance Indicators (2026 - 2030)</t>
  </si>
  <si>
    <t>TARGET SEED FUNDING</t>
  </si>
  <si>
    <t>5-YR CUMULATIVE REVENUE</t>
  </si>
  <si>
    <t>YEAR 5 NET PROFIT</t>
  </si>
  <si>
    <t>YEAR 5 EBITDA MARGIN</t>
  </si>
  <si>
    <t>Metric ($USD)</t>
  </si>
  <si>
    <t>Year 1 (2026)</t>
  </si>
  <si>
    <t>Year 2 (2027)</t>
  </si>
  <si>
    <t>Year 3 (2028)</t>
  </si>
  <si>
    <t>Year 4 (2029)</t>
  </si>
  <si>
    <t>Year 5 (2030)</t>
  </si>
  <si>
    <t>Active B2B Clients</t>
  </si>
  <si>
    <t>Total Annual Revenue</t>
  </si>
  <si>
    <t>Cost of Goods Sold (COGS)</t>
  </si>
  <si>
    <t>Gross Profit</t>
  </si>
  <si>
    <t>Operating Expenses (OPEX)</t>
  </si>
  <si>
    <t>EBITDA</t>
  </si>
  <si>
    <t>Net Profit</t>
  </si>
  <si>
    <t>Net Profit Margin %</t>
  </si>
  <si>
    <t>Key Financial Assumptions &amp; Revenue Drivers</t>
  </si>
  <si>
    <t>1. Pricing &amp; Tier Structure ($USD)</t>
  </si>
  <si>
    <t>Starter Tier Annual Subscription</t>
  </si>
  <si>
    <t>Small entities / basic ERP integration</t>
  </si>
  <si>
    <t>Professional Tier Annual Subscription</t>
  </si>
  <si>
    <t>Mid-sized enterprises / multi-module ERP</t>
  </si>
  <si>
    <t>Enterprise Tier Annual Subscription</t>
  </si>
  <si>
    <t>Large groups / custom audit rules &amp; APIs</t>
  </si>
  <si>
    <t>One-time Setup &amp; Integration Fee</t>
  </si>
  <si>
    <t>Average deployment fee per client</t>
  </si>
  <si>
    <t>2. Customer Acquisition Ramp (Active Clients)</t>
  </si>
  <si>
    <t>Client Segment</t>
  </si>
  <si>
    <t>Y1 (2026)</t>
  </si>
  <si>
    <t>Y2 (2027)</t>
  </si>
  <si>
    <t>Y3 (2028)</t>
  </si>
  <si>
    <t>Y4 (2029)</t>
  </si>
  <si>
    <t>Y5 (2030)</t>
  </si>
  <si>
    <t>Starter Tier Clients</t>
  </si>
  <si>
    <t>Professional Tier Clients</t>
  </si>
  <si>
    <t>Enterprise Tier Clients</t>
  </si>
  <si>
    <t>3. Cost Ratios &amp; Operational Drivers</t>
  </si>
  <si>
    <t>Cloud Infrastructure &amp; Hosting (% Rev)</t>
  </si>
  <si>
    <t>AWS / Azure server costs &amp; scaling</t>
  </si>
  <si>
    <t>Base Operating Expenses Year 1</t>
  </si>
  <si>
    <t>Initial salaries, legal, software licenses</t>
  </si>
  <si>
    <t>Corporate Tax Rate</t>
  </si>
  <si>
    <t>Statutory tax assumption on taxable income</t>
  </si>
  <si>
    <t>SAEIS — 5-Year Pro-Forma Income Statement</t>
  </si>
  <si>
    <t>Line Item ($USD)</t>
  </si>
  <si>
    <t>CLIENT ACQUISITION RAMP</t>
  </si>
  <si>
    <t>Total Active Clients</t>
  </si>
  <si>
    <t>REVENUE STREAM ($USD)</t>
  </si>
  <si>
    <t>Recurring SaaS Subscriptions</t>
  </si>
  <si>
    <t>Implementation &amp; Setup Fees</t>
  </si>
  <si>
    <t>Total Revenue</t>
  </si>
  <si>
    <t>COST OF GOODS SOLD (COGS)</t>
  </si>
  <si>
    <t>Cloud Hosting &amp; API Expenses</t>
  </si>
  <si>
    <t>Total COGS</t>
  </si>
  <si>
    <t>GROSS PROFIT</t>
  </si>
  <si>
    <t>Gross Margin %</t>
  </si>
  <si>
    <t>OPERATING EXPENSES (OPEX)</t>
  </si>
  <si>
    <t>R&amp;D, Salaries, Sales &amp; Marketing</t>
  </si>
  <si>
    <t>EBITDA Margin %</t>
  </si>
  <si>
    <t>Tax Expense (15%)</t>
  </si>
  <si>
    <t>NET PROFIT</t>
  </si>
  <si>
    <t>Net Margin %</t>
  </si>
  <si>
    <t>Seed Round Investment &amp; Budget Allocation ($26,500)</t>
  </si>
  <si>
    <t>Category / Expenditure</t>
  </si>
  <si>
    <t>Allocation %</t>
  </si>
  <si>
    <t>Amount ($USD)</t>
  </si>
  <si>
    <t>Strategic Objective</t>
  </si>
  <si>
    <t>Core Engineering &amp; ERP Integration</t>
  </si>
  <si>
    <t>Completing Onyx Pro / SQL live connectors &amp; audit engine</t>
  </si>
  <si>
    <t>Legal Setup &amp; Regional Expansion (Riyadh)</t>
  </si>
  <si>
    <t>Incorporation in Saudi Arabia, Flat6Labs accelerator alignment</t>
  </si>
  <si>
    <t>B2B Marketing &amp; Client Acquisition</t>
  </si>
  <si>
    <t>Targeted outreach to accounting firms &amp; medium enterprises</t>
  </si>
  <si>
    <t>Working Capital &amp; Contingency Reserve</t>
  </si>
  <si>
    <t>Operational buffer and cloud infrastructure prepayment</t>
  </si>
  <si>
    <t>Total Seed Round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</si>
</sst>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1E3A8A"/>
      <name val="Calibri"/>
    </font>
    <font>
      <i/>
      <sz val="11"/>
      <color rgb="FF475569"/>
      <name val="Calibri"/>
    </font>
    <font>
      <b/>
      <sz val="9"/>
      <color rgb="FF475569"/>
      <name val="Calibri"/>
    </font>
    <font>
      <b/>
      <sz val="11"/>
      <color rgb="FFFFFFFF"/>
      <name val="Calibri"/>
    </font>
    <font>
      <sz val="10"/>
      <color rgb="FF334155"/>
      <name val="Calibri"/>
    </font>
    <font>
      <b/>
      <sz val="10"/>
      <color rgb="FF0F172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  <fill>
      <patternFill patternType="solid">
        <fgColor rgb="FF3B82F6"/>
        <bgColor rgb="FF3B82F6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3A8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165" fontId="6" fillId="5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5-Year Revenue Growth Trajectory ($USD)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'Executive Summary'!$B$8:$F$8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'Executive Summary'!$B$10:$F$10</c:f>
              <c:numCache>
                <c:formatCode>\$#,##0</c:formatCode>
                <c:ptCount val="5"/>
                <c:pt idx="0">
                  <c:v>19200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D-495A-B1B1-27FCF30B2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USD ($)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/>
  </sheetViews>
  <sheetFormatPr defaultRowHeight="15" x14ac:dyDescent="0.25"/>
  <cols>
    <col min="1" max="1" width="30" customWidth="1"/>
    <col min="2" max="6" width="18" customWidth="1"/>
  </cols>
  <sheetData>
    <row r="1" spans="1:9" ht="21" x14ac:dyDescent="0.35">
      <c r="A1" s="1" t="s">
        <v>0</v>
      </c>
    </row>
    <row r="2" spans="1:9" x14ac:dyDescent="0.25">
      <c r="A2" s="2" t="s">
        <v>1</v>
      </c>
    </row>
    <row r="4" spans="1:9" x14ac:dyDescent="0.25">
      <c r="B4" s="25" t="s">
        <v>2</v>
      </c>
      <c r="C4" s="26"/>
      <c r="D4" s="25" t="s">
        <v>3</v>
      </c>
      <c r="E4" s="26"/>
      <c r="F4" s="25" t="s">
        <v>4</v>
      </c>
      <c r="G4" s="26"/>
      <c r="H4" s="25" t="s">
        <v>5</v>
      </c>
      <c r="I4" s="26"/>
    </row>
    <row r="5" spans="1:9" ht="21" x14ac:dyDescent="0.25">
      <c r="B5" s="27">
        <v>26500</v>
      </c>
      <c r="C5" s="26"/>
      <c r="D5" s="27" t="e">
        <f>SUM(Projections!B14:F14)</f>
        <v>#VALUE!</v>
      </c>
      <c r="E5" s="26"/>
      <c r="F5" s="27">
        <f>Projections!F27</f>
        <v>-52852.5</v>
      </c>
      <c r="G5" s="26"/>
      <c r="H5" s="28" t="e">
        <f>Projections!F25</f>
        <v>#DIV/0!</v>
      </c>
      <c r="I5" s="26"/>
    </row>
    <row r="8" spans="1:9" x14ac:dyDescent="0.25">
      <c r="A8" s="3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spans="1:9" x14ac:dyDescent="0.25">
      <c r="A9" s="5" t="s">
        <v>12</v>
      </c>
      <c r="B9" s="6">
        <f>Projections!B9</f>
        <v>4</v>
      </c>
      <c r="C9" s="6">
        <f>Projections!C9</f>
        <v>17</v>
      </c>
      <c r="D9" s="6">
        <f>Projections!D9</f>
        <v>46</v>
      </c>
      <c r="E9" s="6">
        <f>Projections!E9</f>
        <v>97</v>
      </c>
      <c r="F9" s="6">
        <f>Projections!F9</f>
        <v>180</v>
      </c>
    </row>
    <row r="10" spans="1:9" x14ac:dyDescent="0.25">
      <c r="A10" s="7" t="s">
        <v>13</v>
      </c>
      <c r="B10" s="8">
        <f>Projections!B14</f>
        <v>19200</v>
      </c>
      <c r="C10" s="8" t="e">
        <f>Projections!C14</f>
        <v>#VALUE!</v>
      </c>
      <c r="D10" s="8">
        <f>Projections!D14</f>
        <v>0</v>
      </c>
      <c r="E10" s="8">
        <f>Projections!E14</f>
        <v>0</v>
      </c>
      <c r="F10" s="8">
        <f>Projections!F14</f>
        <v>0</v>
      </c>
    </row>
    <row r="11" spans="1:9" x14ac:dyDescent="0.25">
      <c r="A11" s="5" t="s">
        <v>14</v>
      </c>
      <c r="B11" s="9">
        <f>Projections!B18</f>
        <v>1536</v>
      </c>
      <c r="C11" s="9" t="e">
        <f>Projections!C18</f>
        <v>#VALUE!</v>
      </c>
      <c r="D11" s="9">
        <f>Projections!D18</f>
        <v>0</v>
      </c>
      <c r="E11" s="9">
        <f>Projections!E18</f>
        <v>0</v>
      </c>
      <c r="F11" s="9">
        <f>Projections!F18</f>
        <v>0</v>
      </c>
    </row>
    <row r="12" spans="1:9" x14ac:dyDescent="0.25">
      <c r="A12" s="10" t="s">
        <v>15</v>
      </c>
      <c r="B12" s="11">
        <f>Projections!B19</f>
        <v>17664</v>
      </c>
      <c r="C12" s="11" t="e">
        <f>Projections!C19</f>
        <v>#VALUE!</v>
      </c>
      <c r="D12" s="11">
        <f>Projections!D19</f>
        <v>0</v>
      </c>
      <c r="E12" s="11">
        <f>Projections!E19</f>
        <v>0</v>
      </c>
      <c r="F12" s="11">
        <f>Projections!F19</f>
        <v>0</v>
      </c>
    </row>
    <row r="13" spans="1:9" x14ac:dyDescent="0.25">
      <c r="A13" s="5" t="s">
        <v>16</v>
      </c>
      <c r="B13" s="9">
        <f>Projections!B23</f>
        <v>18000</v>
      </c>
      <c r="C13" s="9">
        <f>Projections!C23</f>
        <v>26100</v>
      </c>
      <c r="D13" s="9">
        <f>Projections!D23</f>
        <v>35235</v>
      </c>
      <c r="E13" s="9">
        <f>Projections!E23</f>
        <v>44043.75</v>
      </c>
      <c r="F13" s="9">
        <f>Projections!F23</f>
        <v>52852.5</v>
      </c>
    </row>
    <row r="14" spans="1:9" x14ac:dyDescent="0.25">
      <c r="A14" s="7" t="s">
        <v>17</v>
      </c>
      <c r="B14" s="8">
        <f>Projections!B24</f>
        <v>-336</v>
      </c>
      <c r="C14" s="8" t="e">
        <f>Projections!C24</f>
        <v>#VALUE!</v>
      </c>
      <c r="D14" s="8">
        <f>Projections!D24</f>
        <v>-35235</v>
      </c>
      <c r="E14" s="8">
        <f>Projections!E24</f>
        <v>-44043.75</v>
      </c>
      <c r="F14" s="8">
        <f>Projections!F24</f>
        <v>-52852.5</v>
      </c>
    </row>
    <row r="15" spans="1:9" x14ac:dyDescent="0.25">
      <c r="A15" s="10" t="s">
        <v>18</v>
      </c>
      <c r="B15" s="11">
        <f>Projections!B27</f>
        <v>-336</v>
      </c>
      <c r="C15" s="11" t="e">
        <f>Projections!C27</f>
        <v>#VALUE!</v>
      </c>
      <c r="D15" s="11">
        <f>Projections!D27</f>
        <v>-35235</v>
      </c>
      <c r="E15" s="11">
        <f>Projections!E27</f>
        <v>-44043.75</v>
      </c>
      <c r="F15" s="11">
        <f>Projections!F27</f>
        <v>-52852.5</v>
      </c>
    </row>
    <row r="16" spans="1:9" x14ac:dyDescent="0.25">
      <c r="A16" s="12" t="s">
        <v>19</v>
      </c>
      <c r="B16" s="13">
        <f>Projections!B28</f>
        <v>-1.7500000000000002E-2</v>
      </c>
      <c r="C16" s="13" t="e">
        <f>Projections!C28</f>
        <v>#VALUE!</v>
      </c>
      <c r="D16" s="13" t="e">
        <f>Projections!D28</f>
        <v>#DIV/0!</v>
      </c>
      <c r="E16" s="13" t="e">
        <f>Projections!E28</f>
        <v>#DIV/0!</v>
      </c>
      <c r="F16" s="13" t="e">
        <f>Projections!F28</f>
        <v>#DIV/0!</v>
      </c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/>
  </sheetViews>
  <sheetFormatPr defaultRowHeight="15" x14ac:dyDescent="0.25"/>
  <cols>
    <col min="1" max="1" width="59.5703125" bestFit="1" customWidth="1"/>
    <col min="2" max="6" width="18" customWidth="1"/>
  </cols>
  <sheetData>
    <row r="1" spans="1:6" ht="21" x14ac:dyDescent="0.35">
      <c r="A1" s="1" t="s">
        <v>20</v>
      </c>
    </row>
    <row r="4" spans="1:6" x14ac:dyDescent="0.25">
      <c r="A4" s="29" t="s">
        <v>21</v>
      </c>
      <c r="B4" s="26"/>
      <c r="C4" s="26"/>
      <c r="D4" s="26"/>
      <c r="E4" s="26"/>
      <c r="F4" s="26"/>
    </row>
    <row r="5" spans="1:6" x14ac:dyDescent="0.25">
      <c r="A5" s="5" t="s">
        <v>22</v>
      </c>
      <c r="B5" s="14">
        <v>2400</v>
      </c>
      <c r="C5" s="15" t="s">
        <v>23</v>
      </c>
    </row>
    <row r="6" spans="1:6" x14ac:dyDescent="0.25">
      <c r="A6" s="5" t="s">
        <v>24</v>
      </c>
      <c r="B6" s="14">
        <v>6000</v>
      </c>
      <c r="C6" s="15" t="s">
        <v>25</v>
      </c>
    </row>
    <row r="7" spans="1:6" x14ac:dyDescent="0.25">
      <c r="A7" s="5" t="s">
        <v>26</v>
      </c>
      <c r="B7" s="14">
        <v>15000</v>
      </c>
      <c r="C7" s="15" t="s">
        <v>27</v>
      </c>
    </row>
    <row r="8" spans="1:6" x14ac:dyDescent="0.25">
      <c r="A8" s="5" t="s">
        <v>28</v>
      </c>
      <c r="B8" s="14">
        <v>1500</v>
      </c>
      <c r="C8" s="15" t="s">
        <v>29</v>
      </c>
    </row>
    <row r="10" spans="1:6" x14ac:dyDescent="0.25">
      <c r="A10" s="29" t="s">
        <v>30</v>
      </c>
      <c r="B10" s="26"/>
      <c r="C10" s="26"/>
      <c r="D10" s="26"/>
      <c r="E10" s="26"/>
      <c r="F10" s="26"/>
    </row>
    <row r="11" spans="1:6" x14ac:dyDescent="0.25">
      <c r="A11" s="16" t="s">
        <v>31</v>
      </c>
      <c r="B11" s="17" t="s">
        <v>32</v>
      </c>
      <c r="C11" s="17" t="s">
        <v>33</v>
      </c>
      <c r="D11" s="17" t="s">
        <v>34</v>
      </c>
      <c r="E11" s="17" t="s">
        <v>35</v>
      </c>
      <c r="F11" s="17" t="s">
        <v>36</v>
      </c>
    </row>
    <row r="12" spans="1:6" x14ac:dyDescent="0.25">
      <c r="A12" s="5" t="s">
        <v>37</v>
      </c>
      <c r="B12" s="6">
        <v>3</v>
      </c>
      <c r="C12" s="6">
        <v>10</v>
      </c>
      <c r="D12" s="6">
        <v>25</v>
      </c>
      <c r="E12" s="6">
        <v>50</v>
      </c>
      <c r="F12" s="6">
        <v>90</v>
      </c>
    </row>
    <row r="13" spans="1:6" x14ac:dyDescent="0.25">
      <c r="A13" s="5" t="s">
        <v>38</v>
      </c>
      <c r="B13" s="6">
        <v>1</v>
      </c>
      <c r="C13" s="6">
        <v>5</v>
      </c>
      <c r="D13" s="6">
        <v>15</v>
      </c>
      <c r="E13" s="6">
        <v>35</v>
      </c>
      <c r="F13" s="6">
        <v>65</v>
      </c>
    </row>
    <row r="14" spans="1:6" x14ac:dyDescent="0.25">
      <c r="A14" s="5" t="s">
        <v>39</v>
      </c>
      <c r="B14" s="6">
        <v>0</v>
      </c>
      <c r="C14" s="6">
        <v>2</v>
      </c>
      <c r="D14" s="6">
        <v>6</v>
      </c>
      <c r="E14" s="6">
        <v>12</v>
      </c>
      <c r="F14" s="6">
        <v>25</v>
      </c>
    </row>
    <row r="16" spans="1:6" x14ac:dyDescent="0.25">
      <c r="A16" s="29" t="s">
        <v>40</v>
      </c>
      <c r="B16" s="26"/>
      <c r="C16" s="26"/>
      <c r="D16" s="26"/>
      <c r="E16" s="26"/>
      <c r="F16" s="26"/>
    </row>
    <row r="17" spans="1:3" x14ac:dyDescent="0.25">
      <c r="A17" s="5" t="s">
        <v>41</v>
      </c>
      <c r="B17" s="18">
        <v>0.08</v>
      </c>
      <c r="C17" s="15" t="s">
        <v>42</v>
      </c>
    </row>
    <row r="18" spans="1:3" x14ac:dyDescent="0.25">
      <c r="A18" s="5" t="s">
        <v>43</v>
      </c>
      <c r="B18" s="14">
        <v>18000</v>
      </c>
      <c r="C18" s="15" t="s">
        <v>44</v>
      </c>
    </row>
    <row r="19" spans="1:3" x14ac:dyDescent="0.25">
      <c r="A19" s="5" t="s">
        <v>45</v>
      </c>
      <c r="B19" s="18">
        <v>0.15</v>
      </c>
      <c r="C19" s="15" t="s">
        <v>46</v>
      </c>
    </row>
  </sheetData>
  <mergeCells count="3">
    <mergeCell ref="A16:F16"/>
    <mergeCell ref="A10:F10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/>
  </sheetViews>
  <sheetFormatPr defaultRowHeight="15" x14ac:dyDescent="0.25"/>
  <cols>
    <col min="1" max="1" width="34" customWidth="1"/>
    <col min="2" max="6" width="18" customWidth="1"/>
  </cols>
  <sheetData>
    <row r="1" spans="1:6" ht="21" x14ac:dyDescent="0.35">
      <c r="A1" s="1" t="s">
        <v>47</v>
      </c>
    </row>
    <row r="4" spans="1:6" x14ac:dyDescent="0.25">
      <c r="A4" s="3" t="s">
        <v>48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</row>
    <row r="5" spans="1:6" x14ac:dyDescent="0.25">
      <c r="A5" s="29" t="s">
        <v>49</v>
      </c>
      <c r="B5" s="26"/>
      <c r="C5" s="26"/>
      <c r="D5" s="26"/>
      <c r="E5" s="26"/>
      <c r="F5" s="26"/>
    </row>
    <row r="6" spans="1:6" x14ac:dyDescent="0.25">
      <c r="A6" s="5" t="s">
        <v>37</v>
      </c>
      <c r="B6" s="6">
        <f>Assumptions!B12</f>
        <v>3</v>
      </c>
      <c r="C6" s="6">
        <f>Assumptions!C12</f>
        <v>10</v>
      </c>
      <c r="D6" s="6">
        <f>Assumptions!D12</f>
        <v>25</v>
      </c>
      <c r="E6" s="6">
        <f>Assumptions!E12</f>
        <v>50</v>
      </c>
      <c r="F6" s="6">
        <f>Assumptions!F12</f>
        <v>90</v>
      </c>
    </row>
    <row r="7" spans="1:6" x14ac:dyDescent="0.25">
      <c r="A7" s="5" t="s">
        <v>38</v>
      </c>
      <c r="B7" s="6">
        <f>Assumptions!B13</f>
        <v>1</v>
      </c>
      <c r="C7" s="6">
        <f>Assumptions!C13</f>
        <v>5</v>
      </c>
      <c r="D7" s="6">
        <f>Assumptions!D13</f>
        <v>15</v>
      </c>
      <c r="E7" s="6">
        <f>Assumptions!E13</f>
        <v>35</v>
      </c>
      <c r="F7" s="6">
        <f>Assumptions!F13</f>
        <v>65</v>
      </c>
    </row>
    <row r="8" spans="1:6" x14ac:dyDescent="0.25">
      <c r="A8" s="5" t="s">
        <v>39</v>
      </c>
      <c r="B8" s="6">
        <f>Assumptions!B14</f>
        <v>0</v>
      </c>
      <c r="C8" s="6">
        <f>Assumptions!C14</f>
        <v>2</v>
      </c>
      <c r="D8" s="6">
        <f>Assumptions!D14</f>
        <v>6</v>
      </c>
      <c r="E8" s="6">
        <f>Assumptions!E14</f>
        <v>12</v>
      </c>
      <c r="F8" s="6">
        <f>Assumptions!F14</f>
        <v>25</v>
      </c>
    </row>
    <row r="9" spans="1:6" x14ac:dyDescent="0.25">
      <c r="A9" s="16" t="s">
        <v>50</v>
      </c>
      <c r="B9" s="19">
        <f>SUM(B6:B8)</f>
        <v>4</v>
      </c>
      <c r="C9" s="19">
        <f>SUM(C6:C8)</f>
        <v>17</v>
      </c>
      <c r="D9" s="19">
        <f>SUM(D6:D8)</f>
        <v>46</v>
      </c>
      <c r="E9" s="19">
        <f>SUM(E6:E8)</f>
        <v>97</v>
      </c>
      <c r="F9" s="19">
        <f>SUM(F6:F8)</f>
        <v>180</v>
      </c>
    </row>
    <row r="11" spans="1:6" x14ac:dyDescent="0.25">
      <c r="A11" s="29" t="s">
        <v>51</v>
      </c>
      <c r="B11" s="26"/>
      <c r="C11" s="26"/>
      <c r="D11" s="26"/>
      <c r="E11" s="26"/>
      <c r="F11" s="26"/>
    </row>
    <row r="12" spans="1:6" x14ac:dyDescent="0.25">
      <c r="A12" s="5" t="s">
        <v>52</v>
      </c>
      <c r="B12" s="9">
        <f>B6*Assumptions!$B$5 + B7*Assumptions!$B$6 + B8*Assumptions!$B$7</f>
        <v>13200</v>
      </c>
      <c r="C12" s="9" t="e">
        <f>C6*Assumptions!$C$5 + C7*Assumptions!$C$6 + C8*Assumptions!$C$7</f>
        <v>#VALUE!</v>
      </c>
      <c r="D12" s="9">
        <f>D6*Assumptions!$D$5 + D7*Assumptions!$D$6 + D8*Assumptions!$D$7</f>
        <v>0</v>
      </c>
      <c r="E12" s="9">
        <f>E6*Assumptions!$E$5 + E7*Assumptions!$E$6 + E8*Assumptions!$E$7</f>
        <v>0</v>
      </c>
      <c r="F12" s="9">
        <f>F6*Assumptions!$F$5 + F7*Assumptions!$F$6 + F8*Assumptions!$F$7</f>
        <v>0</v>
      </c>
    </row>
    <row r="13" spans="1:6" x14ac:dyDescent="0.25">
      <c r="A13" s="5" t="s">
        <v>53</v>
      </c>
      <c r="B13" s="9">
        <f>(B6+B7+B8)*Assumptions!$B$8</f>
        <v>6000</v>
      </c>
      <c r="C13" s="9" t="e">
        <f>(C6+C7+C8)*Assumptions!$C$8</f>
        <v>#VALUE!</v>
      </c>
      <c r="D13" s="9">
        <f>(D6+D7+D8)*Assumptions!$D$8</f>
        <v>0</v>
      </c>
      <c r="E13" s="9">
        <f>(E6+E7+E8)*Assumptions!$E$8</f>
        <v>0</v>
      </c>
      <c r="F13" s="9">
        <f>(F6+F7+F8)*Assumptions!$F$8</f>
        <v>0</v>
      </c>
    </row>
    <row r="14" spans="1:6" x14ac:dyDescent="0.25">
      <c r="A14" s="16" t="s">
        <v>54</v>
      </c>
      <c r="B14" s="11">
        <f>B12+B13</f>
        <v>19200</v>
      </c>
      <c r="C14" s="11" t="e">
        <f>C12+C13</f>
        <v>#VALUE!</v>
      </c>
      <c r="D14" s="11">
        <f>D12+D13</f>
        <v>0</v>
      </c>
      <c r="E14" s="11">
        <f>E12+E13</f>
        <v>0</v>
      </c>
      <c r="F14" s="11">
        <f>F12+F13</f>
        <v>0</v>
      </c>
    </row>
    <row r="16" spans="1:6" x14ac:dyDescent="0.25">
      <c r="A16" s="29" t="s">
        <v>55</v>
      </c>
      <c r="B16" s="26"/>
      <c r="C16" s="26"/>
      <c r="D16" s="26"/>
      <c r="E16" s="26"/>
      <c r="F16" s="26"/>
    </row>
    <row r="17" spans="1:6" x14ac:dyDescent="0.25">
      <c r="A17" s="5" t="s">
        <v>56</v>
      </c>
      <c r="B17" s="9">
        <f>B14*Assumptions!$B$17</f>
        <v>1536</v>
      </c>
      <c r="C17" s="9" t="e">
        <f>C14*Assumptions!$C$17</f>
        <v>#VALUE!</v>
      </c>
      <c r="D17" s="9">
        <f>D14*Assumptions!$D$17</f>
        <v>0</v>
      </c>
      <c r="E17" s="9">
        <f>E14*Assumptions!$E$17</f>
        <v>0</v>
      </c>
      <c r="F17" s="9">
        <f>F14*Assumptions!$F$17</f>
        <v>0</v>
      </c>
    </row>
    <row r="18" spans="1:6" x14ac:dyDescent="0.25">
      <c r="A18" s="16" t="s">
        <v>57</v>
      </c>
      <c r="B18" s="14">
        <f>B17</f>
        <v>1536</v>
      </c>
      <c r="C18" s="14" t="e">
        <f>C17</f>
        <v>#VALUE!</v>
      </c>
      <c r="D18" s="14">
        <f>D17</f>
        <v>0</v>
      </c>
      <c r="E18" s="14">
        <f>E17</f>
        <v>0</v>
      </c>
      <c r="F18" s="14">
        <f>F17</f>
        <v>0</v>
      </c>
    </row>
    <row r="19" spans="1:6" x14ac:dyDescent="0.25">
      <c r="A19" s="16" t="s">
        <v>58</v>
      </c>
      <c r="B19" s="11">
        <f>B14-B18</f>
        <v>17664</v>
      </c>
      <c r="C19" s="11" t="e">
        <f>C14-C18</f>
        <v>#VALUE!</v>
      </c>
      <c r="D19" s="11">
        <f>D14-D18</f>
        <v>0</v>
      </c>
      <c r="E19" s="11">
        <f>E14-E18</f>
        <v>0</v>
      </c>
      <c r="F19" s="11">
        <f>F14-F18</f>
        <v>0</v>
      </c>
    </row>
    <row r="20" spans="1:6" x14ac:dyDescent="0.25">
      <c r="A20" s="5" t="s">
        <v>59</v>
      </c>
      <c r="B20" s="20">
        <f>B19/B14</f>
        <v>0.92</v>
      </c>
      <c r="C20" s="20" t="e">
        <f>C19/C14</f>
        <v>#VALUE!</v>
      </c>
      <c r="D20" s="20" t="e">
        <f>D19/D14</f>
        <v>#DIV/0!</v>
      </c>
      <c r="E20" s="20" t="e">
        <f>E19/E14</f>
        <v>#DIV/0!</v>
      </c>
      <c r="F20" s="20" t="e">
        <f>F19/F14</f>
        <v>#DIV/0!</v>
      </c>
    </row>
    <row r="22" spans="1:6" x14ac:dyDescent="0.25">
      <c r="A22" s="29" t="s">
        <v>60</v>
      </c>
      <c r="B22" s="26"/>
      <c r="C22" s="26"/>
      <c r="D22" s="26"/>
      <c r="E22" s="26"/>
      <c r="F22" s="26"/>
    </row>
    <row r="23" spans="1:6" x14ac:dyDescent="0.25">
      <c r="A23" s="5" t="s">
        <v>61</v>
      </c>
      <c r="B23" s="9">
        <f>Assumptions!$B$18</f>
        <v>18000</v>
      </c>
      <c r="C23" s="9">
        <f>B23*1.45</f>
        <v>26100</v>
      </c>
      <c r="D23" s="9">
        <f>C23*1.35</f>
        <v>35235</v>
      </c>
      <c r="E23" s="9">
        <f>D23*1.25</f>
        <v>44043.75</v>
      </c>
      <c r="F23" s="9">
        <f>E23*1.2</f>
        <v>52852.5</v>
      </c>
    </row>
    <row r="24" spans="1:6" x14ac:dyDescent="0.25">
      <c r="A24" s="16" t="s">
        <v>17</v>
      </c>
      <c r="B24" s="11">
        <f>B19-B23</f>
        <v>-336</v>
      </c>
      <c r="C24" s="11" t="e">
        <f>C19-C23</f>
        <v>#VALUE!</v>
      </c>
      <c r="D24" s="11">
        <f>D19-D23</f>
        <v>-35235</v>
      </c>
      <c r="E24" s="11">
        <f>E19-E23</f>
        <v>-44043.75</v>
      </c>
      <c r="F24" s="11">
        <f>F19-F23</f>
        <v>-52852.5</v>
      </c>
    </row>
    <row r="25" spans="1:6" x14ac:dyDescent="0.25">
      <c r="A25" s="5" t="s">
        <v>62</v>
      </c>
      <c r="B25" s="20">
        <f>B24/B14</f>
        <v>-1.7500000000000002E-2</v>
      </c>
      <c r="C25" s="20" t="e">
        <f>C24/C14</f>
        <v>#VALUE!</v>
      </c>
      <c r="D25" s="20" t="e">
        <f>D24/D14</f>
        <v>#DIV/0!</v>
      </c>
      <c r="E25" s="20" t="e">
        <f>E24/E14</f>
        <v>#DIV/0!</v>
      </c>
      <c r="F25" s="20" t="e">
        <f>F24/F14</f>
        <v>#DIV/0!</v>
      </c>
    </row>
    <row r="26" spans="1:6" x14ac:dyDescent="0.25">
      <c r="A26" s="5" t="s">
        <v>63</v>
      </c>
      <c r="B26" s="9">
        <f>IF(B24&gt;0, B24*Assumptions!$B$19, 0)</f>
        <v>0</v>
      </c>
      <c r="C26" s="9" t="e">
        <f>IF(C24&gt;0, C24*Assumptions!$C$19, 0)</f>
        <v>#VALUE!</v>
      </c>
      <c r="D26" s="9">
        <f>IF(D24&gt;0, D24*Assumptions!$D$19, 0)</f>
        <v>0</v>
      </c>
      <c r="E26" s="9">
        <f>IF(E24&gt;0, E24*Assumptions!$E$19, 0)</f>
        <v>0</v>
      </c>
      <c r="F26" s="9">
        <f>IF(F24&gt;0, F24*Assumptions!$F$19, 0)</f>
        <v>0</v>
      </c>
    </row>
    <row r="27" spans="1:6" x14ac:dyDescent="0.25">
      <c r="A27" s="16" t="s">
        <v>64</v>
      </c>
      <c r="B27" s="21">
        <f>B24-B26</f>
        <v>-336</v>
      </c>
      <c r="C27" s="21" t="e">
        <f>C24-C26</f>
        <v>#VALUE!</v>
      </c>
      <c r="D27" s="21">
        <f>D24-D26</f>
        <v>-35235</v>
      </c>
      <c r="E27" s="21">
        <f>E24-E26</f>
        <v>-44043.75</v>
      </c>
      <c r="F27" s="21">
        <f>F24-F26</f>
        <v>-52852.5</v>
      </c>
    </row>
    <row r="28" spans="1:6" x14ac:dyDescent="0.25">
      <c r="A28" s="16" t="s">
        <v>65</v>
      </c>
      <c r="B28" s="18">
        <f>B27/B14</f>
        <v>-1.7500000000000002E-2</v>
      </c>
      <c r="C28" s="18" t="e">
        <f>C27/C14</f>
        <v>#VALUE!</v>
      </c>
      <c r="D28" s="18" t="e">
        <f>D27/D14</f>
        <v>#DIV/0!</v>
      </c>
      <c r="E28" s="18" t="e">
        <f>E27/E14</f>
        <v>#DIV/0!</v>
      </c>
      <c r="F28" s="18" t="e">
        <f>F27/F14</f>
        <v>#DIV/0!</v>
      </c>
    </row>
  </sheetData>
  <mergeCells count="4">
    <mergeCell ref="A16:F16"/>
    <mergeCell ref="A11:F11"/>
    <mergeCell ref="A22:F22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/>
  </sheetViews>
  <sheetFormatPr defaultRowHeight="15" x14ac:dyDescent="0.25"/>
  <cols>
    <col min="1" max="1" width="38" customWidth="1"/>
    <col min="2" max="3" width="18" customWidth="1"/>
    <col min="4" max="4" width="57.42578125" bestFit="1" customWidth="1"/>
    <col min="5" max="6" width="18" customWidth="1"/>
  </cols>
  <sheetData>
    <row r="1" spans="1:4" ht="21" x14ac:dyDescent="0.35">
      <c r="A1" s="1" t="s">
        <v>66</v>
      </c>
    </row>
    <row r="4" spans="1:4" x14ac:dyDescent="0.25">
      <c r="A4" s="3" t="s">
        <v>67</v>
      </c>
      <c r="B4" s="4" t="s">
        <v>68</v>
      </c>
      <c r="C4" s="4" t="s">
        <v>69</v>
      </c>
      <c r="D4" s="3" t="s">
        <v>70</v>
      </c>
    </row>
    <row r="5" spans="1:4" x14ac:dyDescent="0.25">
      <c r="A5" s="5" t="s">
        <v>71</v>
      </c>
      <c r="B5" s="20">
        <v>0.4</v>
      </c>
      <c r="C5" s="14">
        <v>10600</v>
      </c>
      <c r="D5" s="22" t="s">
        <v>72</v>
      </c>
    </row>
    <row r="6" spans="1:4" x14ac:dyDescent="0.25">
      <c r="A6" s="5" t="s">
        <v>73</v>
      </c>
      <c r="B6" s="20">
        <v>0.3</v>
      </c>
      <c r="C6" s="14">
        <v>7950</v>
      </c>
      <c r="D6" s="22" t="s">
        <v>74</v>
      </c>
    </row>
    <row r="7" spans="1:4" x14ac:dyDescent="0.25">
      <c r="A7" s="5" t="s">
        <v>75</v>
      </c>
      <c r="B7" s="20">
        <v>0.2</v>
      </c>
      <c r="C7" s="14">
        <v>5300</v>
      </c>
      <c r="D7" s="22" t="s">
        <v>76</v>
      </c>
    </row>
    <row r="8" spans="1:4" x14ac:dyDescent="0.25">
      <c r="A8" s="5" t="s">
        <v>77</v>
      </c>
      <c r="B8" s="20">
        <v>0.1</v>
      </c>
      <c r="C8" s="14">
        <v>2650</v>
      </c>
      <c r="D8" s="22" t="s">
        <v>78</v>
      </c>
    </row>
    <row r="9" spans="1:4" x14ac:dyDescent="0.25">
      <c r="A9" s="23" t="s">
        <v>79</v>
      </c>
      <c r="B9" s="24">
        <f>SUM(B5:B8)</f>
        <v>0.99999999999999989</v>
      </c>
      <c r="C9" s="21">
        <f>SUM(C5:C8)</f>
        <v>26500</v>
      </c>
      <c r="D9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Executive Summary</vt:lpstr>
      <vt:lpstr>Assumptions</vt:lpstr>
      <vt:lpstr>Projections</vt:lpstr>
      <vt:lpstr>Use of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2026-08-13T11:02:46Z</dcterms:created>
  <dcterms:modified xsi:type="dcterms:W3CDTF">2026-08-13T11:25:15Z</dcterms:modified>
</cp:coreProperties>
</file>